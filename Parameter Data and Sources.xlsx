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istgov-my.sharepoint.com/personal/anc33_nist_gov/Documents/Documents/Solar PV ABM model/Final Model 2024-2025/"/>
    </mc:Choice>
  </mc:AlternateContent>
  <xr:revisionPtr revIDLastSave="11" documentId="8_{F5A5FD98-F27C-43C4-8B76-1A3920A2E013}" xr6:coauthVersionLast="47" xr6:coauthVersionMax="47" xr10:uidLastSave="{9B573DBA-0470-4271-881A-5FADAAE469FB}"/>
  <bookViews>
    <workbookView xWindow="-108" yWindow="-108" windowWidth="23256" windowHeight="12456" xr2:uid="{00000000-000D-0000-FFFF-FFFF00000000}"/>
  </bookViews>
  <sheets>
    <sheet name="Cover sheet" sheetId="1" r:id="rId1"/>
    <sheet name="EoU PV Estimates" sheetId="6" r:id="rId2"/>
    <sheet name="Material Demands" sheetId="4" r:id="rId3"/>
    <sheet name="Cost Parameters" sheetId="7" r:id="rId4"/>
    <sheet name="Recovery process parameters" sheetId="3" r:id="rId5"/>
    <sheet name="LCA metrics parameter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7" i="4"/>
  <c r="B18" i="4"/>
  <c r="B20" i="4"/>
  <c r="B16" i="3" l="1"/>
  <c r="B17" i="3"/>
  <c r="B18" i="3"/>
  <c r="B19" i="3"/>
  <c r="B15" i="3"/>
  <c r="H4" i="2"/>
  <c r="D4" i="2"/>
</calcChain>
</file>

<file path=xl/sharedStrings.xml><?xml version="1.0" encoding="utf-8"?>
<sst xmlns="http://schemas.openxmlformats.org/spreadsheetml/2006/main" count="174" uniqueCount="124">
  <si>
    <t>Ozone depletion</t>
  </si>
  <si>
    <t>Global warming</t>
  </si>
  <si>
    <t>(kg CO2 eq/t)</t>
  </si>
  <si>
    <t>(kg CFC-11 eq/t)</t>
  </si>
  <si>
    <t>Eutrophication</t>
  </si>
  <si>
    <t>Respiratory effects</t>
  </si>
  <si>
    <t>Ecotoxicity</t>
  </si>
  <si>
    <t>(kg N eq/t)</t>
  </si>
  <si>
    <t>(CTUh/t)</t>
  </si>
  <si>
    <t>(kg PM2.5 eq/t)</t>
  </si>
  <si>
    <t>(CTUe/t)</t>
  </si>
  <si>
    <t>Source</t>
  </si>
  <si>
    <t>Human Toxicity - Carcinogenics</t>
  </si>
  <si>
    <t>Human Toxicity - Non carcinogenics</t>
  </si>
  <si>
    <t>Mathur, N., Singh, S., &amp; Sutherland, J. W. (2020). Promoting a circular economy in the solar photovoltaic industry using life cycle symbiosis. Resources, Conservation and Recycling, 155, 104649.</t>
  </si>
  <si>
    <t>PV recycling FRELP</t>
  </si>
  <si>
    <t>PV storage</t>
  </si>
  <si>
    <t>PV disposal (landfill)</t>
  </si>
  <si>
    <t>Virgin Al production</t>
  </si>
  <si>
    <t>Al storage</t>
  </si>
  <si>
    <t>Al disposal (landfill)</t>
  </si>
  <si>
    <t>t -&gt; Metric ton (1000 kg)</t>
  </si>
  <si>
    <t>Virgin glass production</t>
  </si>
  <si>
    <t>Glass storage</t>
  </si>
  <si>
    <t>Glass disposal (landfill)</t>
  </si>
  <si>
    <t>Virgin Cu production</t>
  </si>
  <si>
    <t>Cu storage</t>
  </si>
  <si>
    <t>Cu disposal (landfill)</t>
  </si>
  <si>
    <t>Virgin Ag production</t>
  </si>
  <si>
    <t>Ag storage</t>
  </si>
  <si>
    <t>Ag disposal (landfill)</t>
  </si>
  <si>
    <t>Virgin metallurgical Si production</t>
  </si>
  <si>
    <t>Metallurgical Si storage</t>
  </si>
  <si>
    <t>Metallurgical Si disposal (landfill)</t>
  </si>
  <si>
    <t>Recovered Al reprocessing</t>
  </si>
  <si>
    <t>Recovered glass reprocessing</t>
  </si>
  <si>
    <t>Recovered Cu reprocessing</t>
  </si>
  <si>
    <t>Recovered Ag reprocessing</t>
  </si>
  <si>
    <t>Recovered MG - Si reprocessing</t>
  </si>
  <si>
    <t>Shipping</t>
  </si>
  <si>
    <t>(kg CFC-11 eq/t-km)</t>
  </si>
  <si>
    <t>(kg CO2 eq/t-km)</t>
  </si>
  <si>
    <t>(kg N eq/t-km)</t>
  </si>
  <si>
    <t>(CTUh/t-km)</t>
  </si>
  <si>
    <t>(kg PM2.5 eq/t-km)</t>
  </si>
  <si>
    <t>(CTUe/t-km)</t>
  </si>
  <si>
    <t>Reprocessing not done for MG-Si - Mathur, N., Singh, S., &amp; Sutherland, J. W. (2020). Promoting a circular economy in the solar photovoltaic industry using life cycle symbiosis. Resources, Conservation and Recycling, 155, 104649.</t>
  </si>
  <si>
    <t>Assumption</t>
  </si>
  <si>
    <t>Assumption - Neglegible impacts from storage</t>
  </si>
  <si>
    <t>Ecoinvent 3 - Aluminium, primary, liquid {IAI Area, North America, without Quebec}| aluminium production, primary, liquid, Soderberg | APOS, S</t>
  </si>
  <si>
    <t>Ecoinvent 3 - Aluminium, cast alloy {RoW}| treatment of aluminium scrap, post-consumer, prepared for recycling, at refiner | APOS, S</t>
  </si>
  <si>
    <t>Assumed neglegible as Ecoinvent 3 does not record any associated impact</t>
  </si>
  <si>
    <t>Ecoinvent 3 - Silver {RoW}| gold-silver-zinc-lead-copper mine operation and refining | APOS, S</t>
  </si>
  <si>
    <t>Recovered using electrolosys - no further reporcessing required</t>
  </si>
  <si>
    <t>No further reporcessing required - Mathur, N., Singh, S., &amp; Sutherland, J. W. (2020). Promoting a circular economy in the solar photovoltaic industry using life cycle symbiosis. Resources, Conservation and Recycling, 155, 104649.</t>
  </si>
  <si>
    <t>Ecoinvent 3 - Inert waste, for final disposal {RoW}| treatment of inert waste, inert material landfill | Cut-off, S</t>
  </si>
  <si>
    <t>Ecoinvent 3 - Flat glass, uncoated {RER}| production | APOS, S</t>
  </si>
  <si>
    <t>Ecoinvent 3 - Disposal, glass, 0% water, to inert material landfill/US* US-EI U</t>
  </si>
  <si>
    <t>Ecoinvent 3 - Copper {RoW}| production, primary | APOS, S</t>
  </si>
  <si>
    <t>Ecoinvent 3 - Sheet rolling, copper {RoW}| processing | Alloc Def, S</t>
  </si>
  <si>
    <t>Ecoinvent 3 - Silicon, metallurgical grade {RoW}| production | APOS, S</t>
  </si>
  <si>
    <t>Ecoinvent 3 - Transport, freight, lorry 16-32 metric ton, EURO6 {RoW}| market for transport, freight, lorry 16-32 metric ton, EURO6 | Cut-off, S</t>
  </si>
  <si>
    <t>Yield of recovered material from the FRELP process</t>
  </si>
  <si>
    <t>Material</t>
  </si>
  <si>
    <t>Per metric ton (1000 kg) of Eou Solar PV recycled</t>
  </si>
  <si>
    <t>Yield (kg)</t>
  </si>
  <si>
    <t>Aluminum</t>
  </si>
  <si>
    <t>Glass</t>
  </si>
  <si>
    <t>Copper</t>
  </si>
  <si>
    <t>Silver</t>
  </si>
  <si>
    <t>Metallurgical-grade Silicon</t>
  </si>
  <si>
    <t>Source: Latunussa, C. E., Ardente, F., Blengini, G. A., &amp; Mancini, L. (2016). Life Cycle Assessment of an innovative recycling process for crystalline silicon photovoltaic panels. Solar energy materials and solar cells, 156, 101-111.</t>
  </si>
  <si>
    <t>EoU PV Recycling required for material recovery</t>
  </si>
  <si>
    <t>Per metric ton (1000 kg) of recvered material</t>
  </si>
  <si>
    <t>EoU PV Recycling (ton)</t>
  </si>
  <si>
    <t>Demand in 2030</t>
  </si>
  <si>
    <t>Metric tons</t>
  </si>
  <si>
    <t>CAGR</t>
  </si>
  <si>
    <t>%</t>
  </si>
  <si>
    <t>Aproximate demand in 2020</t>
  </si>
  <si>
    <t>Calculated by using 2030 demand and CAGRs</t>
  </si>
  <si>
    <t>The Aluminum Association - https://www.aluminum.org/news/domestic-aluminum-demand-52-through-first-half-2024</t>
  </si>
  <si>
    <t>Global Market Insights - https://www.gminsights.com/industry-analysis/glass-manufacturing-market</t>
  </si>
  <si>
    <t>Recycling Today - https://www.recyclingtoday.com/news/study-assesses-how-us-can-meet-projected-copper-demand/</t>
  </si>
  <si>
    <t>The Silver Institute - https://silverinstitute.org/global-industrial-demand-on-track-for-a-new-record-high-in-2024/</t>
  </si>
  <si>
    <t>Fact.MR - https://www.factmr.com/report/1568/metallurgical-grade-silicon-market</t>
  </si>
  <si>
    <t>Abheek Chatterjee and Nehika Mathur</t>
  </si>
  <si>
    <t>This supplementary file includes data asscoiated with the model development and demostration as described in the main manuscript:</t>
  </si>
  <si>
    <t>1. EoU PV estimates in the USA (2020-2050)</t>
  </si>
  <si>
    <t>EL scenario</t>
  </si>
  <si>
    <t>Average scenario</t>
  </si>
  <si>
    <t>RL scenario</t>
  </si>
  <si>
    <t>Year</t>
  </si>
  <si>
    <t>Calculated by curve fitting on available cumulative PV waste data - then calculating yearly waste from cumulative waste estimates</t>
  </si>
  <si>
    <t>Annual regional PV waste estimates for the hypothetical test region (metric tons)</t>
  </si>
  <si>
    <t>Amount - EL</t>
  </si>
  <si>
    <t>Amount - RL</t>
  </si>
  <si>
    <r>
      <t xml:space="preserve">Cummulative US PV waste Estimates (metric tons). </t>
    </r>
    <r>
      <rPr>
        <sz val="11"/>
        <color theme="1"/>
        <rFont val="Calibri"/>
        <family val="2"/>
        <scheme val="minor"/>
      </rPr>
      <t xml:space="preserve">Source - </t>
    </r>
    <r>
      <rPr>
        <i/>
        <sz val="11"/>
        <color theme="1"/>
        <rFont val="Calibri"/>
        <family val="2"/>
        <scheme val="minor"/>
      </rPr>
      <t>Weckend, Stephanie, Wade, Andreas, &amp; Heath, Garvin A. (2016). End of Life Management: Solar Photovoltaic Panels. https://doi.org/10.2172/1561525</t>
    </r>
  </si>
  <si>
    <t>2. Material demands</t>
  </si>
  <si>
    <t>3. Material costs</t>
  </si>
  <si>
    <t>Mathur, N., Sutherland, J., and Singh, S. (2022). A study on end of life photovoltaics as a model for developing industrial synergistic networks. Journal of Remanufacturing, 12(2):281–301</t>
  </si>
  <si>
    <t>1. Walzberg, J., Carpenter, A., and Heath, G. A. (2021). Role of the social factors in success of solar photovoltaic reuse and recycle programmes. Nature Energy, 6(9):913–924.</t>
  </si>
  <si>
    <t>Low</t>
  </si>
  <si>
    <t>Base</t>
  </si>
  <si>
    <t>High</t>
  </si>
  <si>
    <t>Virgin Material Costs (USD/metric ton)</t>
  </si>
  <si>
    <t>Secondary Material Costs (USD/metric ton)</t>
  </si>
  <si>
    <t>4. PV recovery process yields (FRELP)</t>
  </si>
  <si>
    <t xml:space="preserve">Material, shipping, and landfill cost parameters are based on the information obtained from: </t>
  </si>
  <si>
    <t>PV Landfill costs</t>
  </si>
  <si>
    <t>Moderate</t>
  </si>
  <si>
    <t>Material landfill cost</t>
  </si>
  <si>
    <t>Shipping Cost</t>
  </si>
  <si>
    <t>(USD/metric ton)</t>
  </si>
  <si>
    <t>50 USD/metric ton</t>
  </si>
  <si>
    <t>3 USD/metric ton</t>
  </si>
  <si>
    <t>Initial FRELP cost (USD/ton)</t>
  </si>
  <si>
    <t>Based on:</t>
  </si>
  <si>
    <t>Deng, R., Chang, N. L., Ouyang, Z., &amp; Chong, C. M. (2019). A techno-economic review of silicon photovoltaic module recycling. Renewable and Sustainable Energy Reviews, 109, 532-550.</t>
  </si>
  <si>
    <t>Cui, H., Heath, G., Remo, T., Ravikumar, D., Silverman, T., Deceglie, M., ... &amp; Engel-Cox, J. (2022). Technoeconomic analysis of high-value, crystalline silicon photovoltaic module recycling processes. Solar Energy Materials and Solar Cells, 238, 111592.</t>
  </si>
  <si>
    <t>Regional waste estimated by assuming 4.5% of installed US capacity (based on https://www.seia.org/states-map)</t>
  </si>
  <si>
    <t>Parameter data and sources for:</t>
  </si>
  <si>
    <t>An Agent Based Modelling Tool forSecondary Critical Materials Market Development Scenario Analysis</t>
  </si>
  <si>
    <t>5. Environmental and human health impact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</si>
</sst>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 Light"/>
      <family val="2"/>
      <scheme val="major"/>
    </font>
    <font>
      <i/>
      <sz val="10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5" fillId="0" borderId="0" xfId="0" applyFont="1" applyAlignment="1"/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Border="1"/>
    <xf numFmtId="0" fontId="8" fillId="0" borderId="0" xfId="0" applyFont="1" applyBorder="1" applyAlignment="1"/>
    <xf numFmtId="0" fontId="9" fillId="0" borderId="0" xfId="0" applyFont="1" applyBorder="1" applyAlignment="1"/>
    <xf numFmtId="11" fontId="7" fillId="0" borderId="0" xfId="0" applyNumberFormat="1" applyFont="1" applyBorder="1"/>
    <xf numFmtId="0" fontId="8" fillId="0" borderId="0" xfId="0" applyFont="1" applyAlignme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/>
    <xf numFmtId="0" fontId="10" fillId="0" borderId="0" xfId="0" applyFont="1"/>
    <xf numFmtId="0" fontId="3" fillId="0" borderId="0" xfId="0" applyFont="1"/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C18" sqref="C18"/>
    </sheetView>
  </sheetViews>
  <sheetFormatPr defaultRowHeight="14.4" x14ac:dyDescent="0.3"/>
  <sheetData>
    <row r="1" spans="1:1" x14ac:dyDescent="0.3">
      <c r="A1" t="s">
        <v>121</v>
      </c>
    </row>
    <row r="3" spans="1:1" s="19" customFormat="1" x14ac:dyDescent="0.3">
      <c r="A3" s="19" t="s">
        <v>122</v>
      </c>
    </row>
    <row r="4" spans="1:1" x14ac:dyDescent="0.3">
      <c r="A4" t="s">
        <v>86</v>
      </c>
    </row>
    <row r="6" spans="1:1" x14ac:dyDescent="0.3">
      <c r="A6" t="s">
        <v>87</v>
      </c>
    </row>
    <row r="7" spans="1:1" x14ac:dyDescent="0.3">
      <c r="A7" t="s">
        <v>88</v>
      </c>
    </row>
    <row r="8" spans="1:1" x14ac:dyDescent="0.3">
      <c r="A8" t="s">
        <v>98</v>
      </c>
    </row>
    <row r="9" spans="1:1" x14ac:dyDescent="0.3">
      <c r="A9" t="s">
        <v>99</v>
      </c>
    </row>
    <row r="10" spans="1:1" x14ac:dyDescent="0.3">
      <c r="A10" t="s">
        <v>107</v>
      </c>
    </row>
    <row r="11" spans="1:1" x14ac:dyDescent="0.3">
      <c r="A1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1A26-23A9-49B5-83F5-1FF0F4683C5D}">
  <dimension ref="A1:F41"/>
  <sheetViews>
    <sheetView workbookViewId="0">
      <selection activeCell="B17" sqref="B17"/>
    </sheetView>
  </sheetViews>
  <sheetFormatPr defaultRowHeight="14.4" x14ac:dyDescent="0.3"/>
  <cols>
    <col min="1" max="1" width="19.44140625" customWidth="1"/>
    <col min="2" max="2" width="17.88671875" customWidth="1"/>
    <col min="3" max="3" width="17.6640625" customWidth="1"/>
    <col min="4" max="6" width="17.88671875" customWidth="1"/>
  </cols>
  <sheetData>
    <row r="1" spans="1:6" s="19" customFormat="1" x14ac:dyDescent="0.3">
      <c r="A1" s="19" t="s">
        <v>97</v>
      </c>
    </row>
    <row r="2" spans="1:6" x14ac:dyDescent="0.3">
      <c r="A2" t="s">
        <v>92</v>
      </c>
      <c r="B2">
        <v>2016</v>
      </c>
      <c r="C2">
        <v>2020</v>
      </c>
      <c r="D2">
        <v>2030</v>
      </c>
      <c r="E2">
        <v>2040</v>
      </c>
      <c r="F2">
        <v>2050</v>
      </c>
    </row>
    <row r="3" spans="1:6" x14ac:dyDescent="0.3">
      <c r="A3" t="s">
        <v>96</v>
      </c>
      <c r="B3">
        <v>6500</v>
      </c>
      <c r="C3">
        <v>13000</v>
      </c>
      <c r="D3">
        <v>170000</v>
      </c>
      <c r="E3">
        <v>1700000</v>
      </c>
      <c r="F3">
        <v>7500000</v>
      </c>
    </row>
    <row r="4" spans="1:6" x14ac:dyDescent="0.3">
      <c r="A4" t="s">
        <v>95</v>
      </c>
      <c r="B4">
        <v>24000</v>
      </c>
      <c r="C4">
        <v>85000</v>
      </c>
      <c r="D4">
        <v>1000000</v>
      </c>
      <c r="E4">
        <v>4000000</v>
      </c>
      <c r="F4">
        <v>10000000</v>
      </c>
    </row>
    <row r="6" spans="1:6" s="19" customFormat="1" x14ac:dyDescent="0.3">
      <c r="A6" s="19" t="s">
        <v>94</v>
      </c>
    </row>
    <row r="7" spans="1:6" s="19" customFormat="1" x14ac:dyDescent="0.3">
      <c r="A7" t="s">
        <v>93</v>
      </c>
    </row>
    <row r="8" spans="1:6" x14ac:dyDescent="0.3">
      <c r="A8" t="s">
        <v>120</v>
      </c>
    </row>
    <row r="10" spans="1:6" x14ac:dyDescent="0.3">
      <c r="A10" t="s">
        <v>92</v>
      </c>
      <c r="B10" t="s">
        <v>91</v>
      </c>
      <c r="C10" t="s">
        <v>90</v>
      </c>
      <c r="D10" t="s">
        <v>89</v>
      </c>
    </row>
    <row r="11" spans="1:6" x14ac:dyDescent="0.3">
      <c r="A11">
        <v>2020</v>
      </c>
      <c r="B11">
        <v>45</v>
      </c>
      <c r="C11">
        <v>562.5</v>
      </c>
      <c r="D11">
        <v>1080</v>
      </c>
    </row>
    <row r="12" spans="1:6" x14ac:dyDescent="0.3">
      <c r="A12">
        <v>2021</v>
      </c>
      <c r="B12">
        <v>90</v>
      </c>
      <c r="C12">
        <v>765</v>
      </c>
      <c r="D12">
        <v>1440</v>
      </c>
    </row>
    <row r="13" spans="1:6" x14ac:dyDescent="0.3">
      <c r="A13">
        <v>2022</v>
      </c>
      <c r="B13">
        <v>90</v>
      </c>
      <c r="C13">
        <v>967.5</v>
      </c>
      <c r="D13">
        <v>1845</v>
      </c>
    </row>
    <row r="14" spans="1:6" x14ac:dyDescent="0.3">
      <c r="A14">
        <v>2023</v>
      </c>
      <c r="B14">
        <v>180</v>
      </c>
      <c r="C14">
        <v>1282.5</v>
      </c>
      <c r="D14">
        <v>2385</v>
      </c>
    </row>
    <row r="15" spans="1:6" x14ac:dyDescent="0.3">
      <c r="A15">
        <v>2024</v>
      </c>
      <c r="B15">
        <v>225</v>
      </c>
      <c r="C15">
        <v>1552.5</v>
      </c>
      <c r="D15">
        <v>2880</v>
      </c>
    </row>
    <row r="16" spans="1:6" x14ac:dyDescent="0.3">
      <c r="A16">
        <v>2025</v>
      </c>
      <c r="B16">
        <v>405</v>
      </c>
      <c r="C16">
        <v>1980</v>
      </c>
      <c r="D16">
        <v>3555</v>
      </c>
    </row>
    <row r="17" spans="1:4" x14ac:dyDescent="0.3">
      <c r="A17">
        <v>2026</v>
      </c>
      <c r="B17">
        <v>585</v>
      </c>
      <c r="C17">
        <v>2407.5</v>
      </c>
      <c r="D17">
        <v>4230</v>
      </c>
    </row>
    <row r="18" spans="1:4" x14ac:dyDescent="0.3">
      <c r="A18">
        <v>2027</v>
      </c>
      <c r="B18">
        <v>810</v>
      </c>
      <c r="C18">
        <v>2880</v>
      </c>
      <c r="D18">
        <v>4950</v>
      </c>
    </row>
    <row r="19" spans="1:4" x14ac:dyDescent="0.3">
      <c r="A19">
        <v>2028</v>
      </c>
      <c r="B19">
        <v>1170</v>
      </c>
      <c r="C19">
        <v>3465</v>
      </c>
      <c r="D19">
        <v>5760</v>
      </c>
    </row>
    <row r="20" spans="1:4" x14ac:dyDescent="0.3">
      <c r="A20">
        <v>2029</v>
      </c>
      <c r="B20">
        <v>1530</v>
      </c>
      <c r="C20">
        <v>4072.5</v>
      </c>
      <c r="D20">
        <v>6615</v>
      </c>
    </row>
    <row r="21" spans="1:4" x14ac:dyDescent="0.3">
      <c r="A21">
        <v>2030</v>
      </c>
      <c r="B21">
        <v>1980</v>
      </c>
      <c r="C21">
        <v>4747.5</v>
      </c>
      <c r="D21">
        <v>7515</v>
      </c>
    </row>
    <row r="22" spans="1:4" x14ac:dyDescent="0.3">
      <c r="A22">
        <v>2031</v>
      </c>
      <c r="B22">
        <v>2565</v>
      </c>
      <c r="C22">
        <v>5512.5</v>
      </c>
      <c r="D22">
        <v>8460</v>
      </c>
    </row>
    <row r="23" spans="1:4" x14ac:dyDescent="0.3">
      <c r="A23">
        <v>2032</v>
      </c>
      <c r="B23">
        <v>3195</v>
      </c>
      <c r="C23">
        <v>6322.5</v>
      </c>
      <c r="D23">
        <v>9450</v>
      </c>
    </row>
    <row r="24" spans="1:4" x14ac:dyDescent="0.3">
      <c r="A24">
        <v>2033</v>
      </c>
      <c r="B24">
        <v>3960</v>
      </c>
      <c r="C24">
        <v>7245</v>
      </c>
      <c r="D24">
        <v>10530</v>
      </c>
    </row>
    <row r="25" spans="1:4" x14ac:dyDescent="0.3">
      <c r="A25">
        <v>2034</v>
      </c>
      <c r="B25">
        <v>4815</v>
      </c>
      <c r="C25">
        <v>8212.5</v>
      </c>
      <c r="D25">
        <v>11610</v>
      </c>
    </row>
    <row r="26" spans="1:4" x14ac:dyDescent="0.3">
      <c r="A26">
        <v>2035</v>
      </c>
      <c r="B26">
        <v>5805</v>
      </c>
      <c r="C26">
        <v>9270</v>
      </c>
      <c r="D26">
        <v>12735</v>
      </c>
    </row>
    <row r="27" spans="1:4" x14ac:dyDescent="0.3">
      <c r="A27">
        <v>2036</v>
      </c>
      <c r="B27">
        <v>6930</v>
      </c>
      <c r="C27">
        <v>10440</v>
      </c>
      <c r="D27">
        <v>13950</v>
      </c>
    </row>
    <row r="28" spans="1:4" x14ac:dyDescent="0.3">
      <c r="A28">
        <v>2037</v>
      </c>
      <c r="B28">
        <v>8145</v>
      </c>
      <c r="C28">
        <v>11632.5</v>
      </c>
      <c r="D28">
        <v>15120</v>
      </c>
    </row>
    <row r="29" spans="1:4" x14ac:dyDescent="0.3">
      <c r="A29">
        <v>2038</v>
      </c>
      <c r="B29">
        <v>9540</v>
      </c>
      <c r="C29">
        <v>12982.5</v>
      </c>
      <c r="D29">
        <v>16425</v>
      </c>
    </row>
    <row r="30" spans="1:4" x14ac:dyDescent="0.3">
      <c r="A30">
        <v>2039</v>
      </c>
      <c r="B30">
        <v>11115</v>
      </c>
      <c r="C30">
        <v>14400</v>
      </c>
      <c r="D30">
        <v>17685</v>
      </c>
    </row>
    <row r="31" spans="1:4" x14ac:dyDescent="0.3">
      <c r="A31">
        <v>2040</v>
      </c>
      <c r="B31">
        <v>12780</v>
      </c>
      <c r="C31">
        <v>15907.5</v>
      </c>
      <c r="D31">
        <v>19035</v>
      </c>
    </row>
    <row r="32" spans="1:4" x14ac:dyDescent="0.3">
      <c r="A32">
        <v>2041</v>
      </c>
      <c r="B32">
        <v>14625</v>
      </c>
      <c r="C32">
        <v>17505</v>
      </c>
      <c r="D32">
        <v>20385</v>
      </c>
    </row>
    <row r="33" spans="1:4" x14ac:dyDescent="0.3">
      <c r="A33">
        <v>2042</v>
      </c>
      <c r="B33">
        <v>16695</v>
      </c>
      <c r="C33">
        <v>19260</v>
      </c>
      <c r="D33">
        <v>21825</v>
      </c>
    </row>
    <row r="34" spans="1:4" x14ac:dyDescent="0.3">
      <c r="A34">
        <v>2043</v>
      </c>
      <c r="B34">
        <v>18900</v>
      </c>
      <c r="C34">
        <v>21060</v>
      </c>
      <c r="D34">
        <v>23220</v>
      </c>
    </row>
    <row r="35" spans="1:4" x14ac:dyDescent="0.3">
      <c r="A35">
        <v>2044</v>
      </c>
      <c r="B35">
        <v>21285</v>
      </c>
      <c r="C35">
        <v>22972.5</v>
      </c>
      <c r="D35">
        <v>24660</v>
      </c>
    </row>
    <row r="36" spans="1:4" x14ac:dyDescent="0.3">
      <c r="A36">
        <v>2045</v>
      </c>
      <c r="B36">
        <v>23850</v>
      </c>
      <c r="C36">
        <v>24997.5</v>
      </c>
      <c r="D36">
        <v>26145</v>
      </c>
    </row>
    <row r="37" spans="1:4" x14ac:dyDescent="0.3">
      <c r="A37">
        <v>2046</v>
      </c>
      <c r="B37">
        <v>26685</v>
      </c>
      <c r="C37">
        <v>27180</v>
      </c>
      <c r="D37">
        <v>27675</v>
      </c>
    </row>
    <row r="38" spans="1:4" x14ac:dyDescent="0.3">
      <c r="A38">
        <v>2047</v>
      </c>
      <c r="B38">
        <v>29700</v>
      </c>
      <c r="C38">
        <v>29430</v>
      </c>
      <c r="D38">
        <v>29160</v>
      </c>
    </row>
    <row r="39" spans="1:4" x14ac:dyDescent="0.3">
      <c r="A39">
        <v>2048</v>
      </c>
      <c r="B39">
        <v>32895</v>
      </c>
      <c r="C39">
        <v>31815</v>
      </c>
      <c r="D39">
        <v>30735</v>
      </c>
    </row>
    <row r="40" spans="1:4" x14ac:dyDescent="0.3">
      <c r="A40">
        <v>2049</v>
      </c>
      <c r="B40">
        <v>36315</v>
      </c>
      <c r="C40">
        <v>34312.5</v>
      </c>
      <c r="D40">
        <v>32310</v>
      </c>
    </row>
    <row r="41" spans="1:4" x14ac:dyDescent="0.3">
      <c r="A41">
        <v>2050</v>
      </c>
      <c r="B41">
        <v>40050</v>
      </c>
      <c r="C41">
        <v>36967.5</v>
      </c>
      <c r="D41">
        <v>33885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2317-2DC8-40CE-B8D1-834875DD4D59}">
  <dimension ref="A1:C24"/>
  <sheetViews>
    <sheetView workbookViewId="0">
      <selection activeCell="A10" sqref="A10:A13"/>
    </sheetView>
  </sheetViews>
  <sheetFormatPr defaultRowHeight="14.4" x14ac:dyDescent="0.3"/>
  <cols>
    <col min="1" max="1" width="26.44140625" customWidth="1"/>
    <col min="2" max="2" width="17.77734375" customWidth="1"/>
  </cols>
  <sheetData>
    <row r="1" spans="1:3" x14ac:dyDescent="0.3">
      <c r="A1" s="19" t="s">
        <v>75</v>
      </c>
      <c r="B1" s="19" t="s">
        <v>76</v>
      </c>
    </row>
    <row r="2" spans="1:3" x14ac:dyDescent="0.3">
      <c r="A2" t="s">
        <v>66</v>
      </c>
      <c r="B2">
        <v>2163.31</v>
      </c>
    </row>
    <row r="3" spans="1:3" x14ac:dyDescent="0.3">
      <c r="A3" t="s">
        <v>67</v>
      </c>
      <c r="B3">
        <v>7210.8</v>
      </c>
    </row>
    <row r="4" spans="1:3" x14ac:dyDescent="0.3">
      <c r="A4" t="s">
        <v>68</v>
      </c>
      <c r="B4">
        <v>87.64</v>
      </c>
    </row>
    <row r="5" spans="1:3" x14ac:dyDescent="0.3">
      <c r="A5" t="s">
        <v>69</v>
      </c>
      <c r="B5">
        <v>5.8</v>
      </c>
    </row>
    <row r="6" spans="1:3" x14ac:dyDescent="0.3">
      <c r="A6" t="s">
        <v>70</v>
      </c>
      <c r="B6">
        <v>512.72</v>
      </c>
    </row>
    <row r="8" spans="1:3" s="19" customFormat="1" x14ac:dyDescent="0.3">
      <c r="A8" s="19" t="s">
        <v>77</v>
      </c>
      <c r="B8" s="19" t="s">
        <v>78</v>
      </c>
      <c r="C8" s="19" t="s">
        <v>11</v>
      </c>
    </row>
    <row r="9" spans="1:3" x14ac:dyDescent="0.3">
      <c r="A9" t="s">
        <v>66</v>
      </c>
      <c r="B9">
        <v>2.4</v>
      </c>
      <c r="C9" t="s">
        <v>81</v>
      </c>
    </row>
    <row r="10" spans="1:3" x14ac:dyDescent="0.3">
      <c r="A10" t="s">
        <v>67</v>
      </c>
      <c r="B10">
        <v>7.5</v>
      </c>
      <c r="C10" t="s">
        <v>82</v>
      </c>
    </row>
    <row r="11" spans="1:3" x14ac:dyDescent="0.3">
      <c r="A11" t="s">
        <v>68</v>
      </c>
      <c r="B11">
        <v>6.5</v>
      </c>
      <c r="C11" t="s">
        <v>83</v>
      </c>
    </row>
    <row r="12" spans="1:3" x14ac:dyDescent="0.3">
      <c r="A12" t="s">
        <v>69</v>
      </c>
      <c r="B12">
        <v>7</v>
      </c>
      <c r="C12" t="s">
        <v>84</v>
      </c>
    </row>
    <row r="13" spans="1:3" x14ac:dyDescent="0.3">
      <c r="A13" t="s">
        <v>70</v>
      </c>
      <c r="B13">
        <v>2.8</v>
      </c>
      <c r="C13" t="s">
        <v>85</v>
      </c>
    </row>
    <row r="15" spans="1:3" x14ac:dyDescent="0.3">
      <c r="A15" s="19" t="s">
        <v>79</v>
      </c>
      <c r="B15" s="19" t="s">
        <v>76</v>
      </c>
      <c r="C15" s="21" t="s">
        <v>80</v>
      </c>
    </row>
    <row r="16" spans="1:3" x14ac:dyDescent="0.3">
      <c r="A16" t="s">
        <v>66</v>
      </c>
      <c r="B16">
        <f>ROUND(B2/((1+(B9/100))^10),-1)</f>
        <v>1710</v>
      </c>
    </row>
    <row r="17" spans="1:2" x14ac:dyDescent="0.3">
      <c r="A17" t="s">
        <v>67</v>
      </c>
      <c r="B17">
        <f t="shared" ref="B17:B20" si="0">ROUND(B3/((1+(B10/100))^10),-1)</f>
        <v>3500</v>
      </c>
    </row>
    <row r="18" spans="1:2" x14ac:dyDescent="0.3">
      <c r="A18" t="s">
        <v>68</v>
      </c>
      <c r="B18">
        <f t="shared" si="0"/>
        <v>50</v>
      </c>
    </row>
    <row r="19" spans="1:2" x14ac:dyDescent="0.3">
      <c r="A19" t="s">
        <v>69</v>
      </c>
      <c r="B19">
        <v>3</v>
      </c>
    </row>
    <row r="20" spans="1:2" x14ac:dyDescent="0.3">
      <c r="A20" t="s">
        <v>70</v>
      </c>
      <c r="B20">
        <f t="shared" si="0"/>
        <v>390</v>
      </c>
    </row>
    <row r="23" spans="1:2" s="19" customFormat="1" x14ac:dyDescent="0.3"/>
    <row r="24" spans="1:2" x14ac:dyDescent="0.3">
      <c r="A2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C2AE-538E-4379-BD5E-D9E4EB2592E0}">
  <dimension ref="A1:D29"/>
  <sheetViews>
    <sheetView topLeftCell="A11" workbookViewId="0">
      <selection activeCell="C26" sqref="C26"/>
    </sheetView>
  </sheetViews>
  <sheetFormatPr defaultRowHeight="14.4" x14ac:dyDescent="0.3"/>
  <cols>
    <col min="1" max="1" width="24.109375" customWidth="1"/>
    <col min="2" max="2" width="13.44140625" customWidth="1"/>
    <col min="3" max="3" width="13.5546875" customWidth="1"/>
    <col min="4" max="4" width="13.44140625" customWidth="1"/>
  </cols>
  <sheetData>
    <row r="1" spans="1:4" s="19" customFormat="1" x14ac:dyDescent="0.3">
      <c r="A1" s="19" t="s">
        <v>108</v>
      </c>
    </row>
    <row r="2" spans="1:4" x14ac:dyDescent="0.3">
      <c r="A2" t="s">
        <v>100</v>
      </c>
    </row>
    <row r="3" spans="1:4" x14ac:dyDescent="0.3">
      <c r="A3" t="s">
        <v>101</v>
      </c>
    </row>
    <row r="6" spans="1:4" s="19" customFormat="1" x14ac:dyDescent="0.3">
      <c r="A6" s="19" t="s">
        <v>105</v>
      </c>
    </row>
    <row r="7" spans="1:4" s="19" customFormat="1" x14ac:dyDescent="0.3">
      <c r="A7" s="19" t="s">
        <v>63</v>
      </c>
      <c r="B7" s="19" t="s">
        <v>102</v>
      </c>
      <c r="C7" s="19" t="s">
        <v>103</v>
      </c>
      <c r="D7" s="19" t="s">
        <v>104</v>
      </c>
    </row>
    <row r="8" spans="1:4" x14ac:dyDescent="0.3">
      <c r="A8" t="s">
        <v>66</v>
      </c>
      <c r="B8">
        <v>1760</v>
      </c>
      <c r="C8">
        <v>2200</v>
      </c>
      <c r="D8">
        <v>2510</v>
      </c>
    </row>
    <row r="9" spans="1:4" x14ac:dyDescent="0.3">
      <c r="A9" t="s">
        <v>67</v>
      </c>
      <c r="B9">
        <v>40</v>
      </c>
      <c r="C9">
        <v>55</v>
      </c>
      <c r="D9">
        <v>70</v>
      </c>
    </row>
    <row r="10" spans="1:4" x14ac:dyDescent="0.3">
      <c r="A10" t="s">
        <v>68</v>
      </c>
      <c r="B10">
        <v>4190</v>
      </c>
      <c r="C10">
        <v>5850</v>
      </c>
      <c r="D10">
        <v>7500</v>
      </c>
    </row>
    <row r="11" spans="1:4" x14ac:dyDescent="0.3">
      <c r="A11" t="s">
        <v>69</v>
      </c>
      <c r="B11">
        <v>453000</v>
      </c>
      <c r="C11">
        <v>600000</v>
      </c>
      <c r="D11">
        <v>653000</v>
      </c>
    </row>
    <row r="12" spans="1:4" x14ac:dyDescent="0.3">
      <c r="A12" t="s">
        <v>70</v>
      </c>
      <c r="B12">
        <v>2200</v>
      </c>
      <c r="C12">
        <v>3000</v>
      </c>
      <c r="D12">
        <v>3180</v>
      </c>
    </row>
    <row r="15" spans="1:4" x14ac:dyDescent="0.3">
      <c r="A15" s="19" t="s">
        <v>106</v>
      </c>
    </row>
    <row r="16" spans="1:4" x14ac:dyDescent="0.3">
      <c r="A16" s="19" t="s">
        <v>63</v>
      </c>
      <c r="B16" s="19" t="s">
        <v>102</v>
      </c>
      <c r="C16" s="19" t="s">
        <v>103</v>
      </c>
      <c r="D16" s="19" t="s">
        <v>104</v>
      </c>
    </row>
    <row r="17" spans="1:4" x14ac:dyDescent="0.3">
      <c r="A17" t="s">
        <v>66</v>
      </c>
      <c r="B17">
        <v>660</v>
      </c>
      <c r="C17">
        <v>1470</v>
      </c>
      <c r="D17">
        <v>1980</v>
      </c>
    </row>
    <row r="18" spans="1:4" x14ac:dyDescent="0.3">
      <c r="A18" t="s">
        <v>67</v>
      </c>
      <c r="B18">
        <v>10</v>
      </c>
      <c r="C18">
        <v>35</v>
      </c>
      <c r="D18">
        <v>60</v>
      </c>
    </row>
    <row r="19" spans="1:4" x14ac:dyDescent="0.3">
      <c r="A19" t="s">
        <v>68</v>
      </c>
      <c r="B19">
        <v>3770</v>
      </c>
      <c r="C19">
        <v>5260</v>
      </c>
      <c r="D19">
        <v>6750</v>
      </c>
    </row>
    <row r="20" spans="1:4" x14ac:dyDescent="0.3">
      <c r="A20" t="s">
        <v>69</v>
      </c>
      <c r="B20">
        <v>453000</v>
      </c>
      <c r="C20">
        <v>553000</v>
      </c>
      <c r="D20">
        <v>600000</v>
      </c>
    </row>
    <row r="21" spans="1:4" x14ac:dyDescent="0.3">
      <c r="A21" t="s">
        <v>70</v>
      </c>
      <c r="B21">
        <v>2200</v>
      </c>
      <c r="C21">
        <v>2690</v>
      </c>
      <c r="D21">
        <v>3000</v>
      </c>
    </row>
    <row r="23" spans="1:4" x14ac:dyDescent="0.3">
      <c r="A23" s="19" t="s">
        <v>109</v>
      </c>
      <c r="B23" t="s">
        <v>113</v>
      </c>
    </row>
    <row r="24" spans="1:4" x14ac:dyDescent="0.3">
      <c r="A24" t="s">
        <v>102</v>
      </c>
      <c r="B24">
        <v>50</v>
      </c>
    </row>
    <row r="25" spans="1:4" x14ac:dyDescent="0.3">
      <c r="A25" t="s">
        <v>110</v>
      </c>
      <c r="B25">
        <v>100</v>
      </c>
    </row>
    <row r="26" spans="1:4" x14ac:dyDescent="0.3">
      <c r="A26" t="s">
        <v>104</v>
      </c>
      <c r="B26">
        <v>150</v>
      </c>
    </row>
    <row r="28" spans="1:4" x14ac:dyDescent="0.3">
      <c r="A28" s="19" t="s">
        <v>111</v>
      </c>
      <c r="B28" t="s">
        <v>114</v>
      </c>
    </row>
    <row r="29" spans="1:4" x14ac:dyDescent="0.3">
      <c r="A29" s="19" t="s">
        <v>112</v>
      </c>
      <c r="B29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982D-5544-47C9-AEBF-49C8EE2B55ED}">
  <dimension ref="A1:B24"/>
  <sheetViews>
    <sheetView workbookViewId="0">
      <selection activeCell="R18" sqref="R18"/>
    </sheetView>
  </sheetViews>
  <sheetFormatPr defaultRowHeight="14.4" x14ac:dyDescent="0.3"/>
  <cols>
    <col min="1" max="1" width="26.5546875" customWidth="1"/>
    <col min="2" max="4" width="17.88671875" customWidth="1"/>
  </cols>
  <sheetData>
    <row r="1" spans="1:2" s="20" customFormat="1" ht="15.6" x14ac:dyDescent="0.3">
      <c r="A1" s="20" t="s">
        <v>62</v>
      </c>
    </row>
    <row r="2" spans="1:2" s="21" customFormat="1" x14ac:dyDescent="0.3">
      <c r="A2" s="21" t="s">
        <v>64</v>
      </c>
    </row>
    <row r="3" spans="1:2" s="21" customFormat="1" x14ac:dyDescent="0.3">
      <c r="A3" s="21" t="s">
        <v>71</v>
      </c>
    </row>
    <row r="4" spans="1:2" s="19" customFormat="1" x14ac:dyDescent="0.3">
      <c r="A4" s="19" t="s">
        <v>63</v>
      </c>
      <c r="B4" s="19" t="s">
        <v>65</v>
      </c>
    </row>
    <row r="5" spans="1:2" x14ac:dyDescent="0.3">
      <c r="A5" t="s">
        <v>66</v>
      </c>
      <c r="B5">
        <v>182.65</v>
      </c>
    </row>
    <row r="6" spans="1:2" x14ac:dyDescent="0.3">
      <c r="A6" t="s">
        <v>67</v>
      </c>
      <c r="B6">
        <v>686</v>
      </c>
    </row>
    <row r="7" spans="1:2" x14ac:dyDescent="0.3">
      <c r="A7" t="s">
        <v>68</v>
      </c>
      <c r="B7">
        <v>4.38</v>
      </c>
    </row>
    <row r="8" spans="1:2" x14ac:dyDescent="0.3">
      <c r="A8" t="s">
        <v>69</v>
      </c>
      <c r="B8">
        <v>0.5</v>
      </c>
    </row>
    <row r="9" spans="1:2" x14ac:dyDescent="0.3">
      <c r="A9" t="s">
        <v>70</v>
      </c>
      <c r="B9">
        <v>34.68</v>
      </c>
    </row>
    <row r="12" spans="1:2" ht="15.6" x14ac:dyDescent="0.3">
      <c r="A12" s="20" t="s">
        <v>72</v>
      </c>
      <c r="B12" s="20"/>
    </row>
    <row r="13" spans="1:2" x14ac:dyDescent="0.3">
      <c r="A13" s="21" t="s">
        <v>73</v>
      </c>
      <c r="B13" s="21"/>
    </row>
    <row r="14" spans="1:2" x14ac:dyDescent="0.3">
      <c r="A14" s="19" t="s">
        <v>63</v>
      </c>
      <c r="B14" s="19" t="s">
        <v>74</v>
      </c>
    </row>
    <row r="15" spans="1:2" x14ac:dyDescent="0.3">
      <c r="A15" t="s">
        <v>66</v>
      </c>
      <c r="B15">
        <f>ROUND((1/B5*1000),2)</f>
        <v>5.47</v>
      </c>
    </row>
    <row r="16" spans="1:2" x14ac:dyDescent="0.3">
      <c r="A16" t="s">
        <v>67</v>
      </c>
      <c r="B16">
        <f t="shared" ref="B16:B19" si="0">ROUND((1/B6*1000),2)</f>
        <v>1.46</v>
      </c>
    </row>
    <row r="17" spans="1:2" x14ac:dyDescent="0.3">
      <c r="A17" t="s">
        <v>68</v>
      </c>
      <c r="B17">
        <f t="shared" si="0"/>
        <v>228.31</v>
      </c>
    </row>
    <row r="18" spans="1:2" s="21" customFormat="1" x14ac:dyDescent="0.3">
      <c r="A18" t="s">
        <v>69</v>
      </c>
      <c r="B18">
        <f t="shared" si="0"/>
        <v>2000</v>
      </c>
    </row>
    <row r="19" spans="1:2" x14ac:dyDescent="0.3">
      <c r="A19" t="s">
        <v>70</v>
      </c>
      <c r="B19">
        <f t="shared" si="0"/>
        <v>28.84</v>
      </c>
    </row>
    <row r="21" spans="1:2" x14ac:dyDescent="0.3">
      <c r="A21" s="19" t="s">
        <v>116</v>
      </c>
      <c r="B21">
        <v>1500</v>
      </c>
    </row>
    <row r="22" spans="1:2" x14ac:dyDescent="0.3">
      <c r="A22" t="s">
        <v>117</v>
      </c>
      <c r="B22" s="21"/>
    </row>
    <row r="23" spans="1:2" x14ac:dyDescent="0.3">
      <c r="A23" t="s">
        <v>118</v>
      </c>
    </row>
    <row r="24" spans="1:2" x14ac:dyDescent="0.3">
      <c r="A24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DF81-36AC-4199-AD63-1F078273388C}">
  <dimension ref="A1:J37"/>
  <sheetViews>
    <sheetView zoomScale="115" zoomScaleNormal="115" workbookViewId="0">
      <pane xSplit="1" topLeftCell="B1" activePane="topRight" state="frozen"/>
      <selection pane="topRight" activeCell="G2" sqref="G2"/>
    </sheetView>
  </sheetViews>
  <sheetFormatPr defaultColWidth="16.77734375" defaultRowHeight="14.4" x14ac:dyDescent="0.3"/>
  <cols>
    <col min="1" max="1" width="35.44140625" style="1" customWidth="1"/>
    <col min="2" max="8" width="16.77734375" style="1"/>
    <col min="9" max="9" width="16.77734375" style="7" customWidth="1"/>
    <col min="10" max="16384" width="16.77734375" style="1"/>
  </cols>
  <sheetData>
    <row r="1" spans="1:10" s="2" customFormat="1" ht="28.8" x14ac:dyDescent="0.3">
      <c r="B1" s="3" t="s">
        <v>0</v>
      </c>
      <c r="C1" s="3" t="s">
        <v>1</v>
      </c>
      <c r="D1" s="3" t="s">
        <v>4</v>
      </c>
      <c r="E1" s="3" t="s">
        <v>12</v>
      </c>
      <c r="F1" s="3" t="s">
        <v>13</v>
      </c>
      <c r="G1" s="3" t="s">
        <v>5</v>
      </c>
      <c r="H1" s="3" t="s">
        <v>6</v>
      </c>
      <c r="I1" s="22" t="s">
        <v>11</v>
      </c>
    </row>
    <row r="2" spans="1:10" x14ac:dyDescent="0.3">
      <c r="A2" s="6" t="s">
        <v>21</v>
      </c>
      <c r="B2" s="4" t="s">
        <v>3</v>
      </c>
      <c r="C2" s="4" t="s">
        <v>2</v>
      </c>
      <c r="D2" s="4" t="s">
        <v>7</v>
      </c>
      <c r="E2" s="4" t="s">
        <v>8</v>
      </c>
      <c r="F2" s="4" t="s">
        <v>8</v>
      </c>
      <c r="G2" s="4" t="s">
        <v>9</v>
      </c>
      <c r="H2" s="4" t="s">
        <v>10</v>
      </c>
      <c r="I2" s="22"/>
    </row>
    <row r="4" spans="1:10" x14ac:dyDescent="0.3">
      <c r="A4" s="17" t="s">
        <v>15</v>
      </c>
      <c r="B4" s="11">
        <v>1.5745000000000003E-5</v>
      </c>
      <c r="C4" s="11">
        <v>292.3</v>
      </c>
      <c r="D4" s="11">
        <f>0.87*1.05</f>
        <v>0.91349999999999998</v>
      </c>
      <c r="E4" s="11">
        <v>2.2357E-5</v>
      </c>
      <c r="F4" s="11">
        <v>1.0671999999999999E-5</v>
      </c>
      <c r="G4" s="11">
        <v>5.8148999999999999E-2</v>
      </c>
      <c r="H4" s="18">
        <f>0.2*1310</f>
        <v>262</v>
      </c>
      <c r="I4" s="13" t="s">
        <v>14</v>
      </c>
      <c r="J4" s="10"/>
    </row>
    <row r="5" spans="1:10" s="10" customFormat="1" x14ac:dyDescent="0.3">
      <c r="A5" s="17" t="s">
        <v>16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9" t="s">
        <v>48</v>
      </c>
    </row>
    <row r="6" spans="1:10" x14ac:dyDescent="0.3">
      <c r="A6" s="17" t="s">
        <v>17</v>
      </c>
      <c r="B6" s="11">
        <v>5.8450330306552604E-7</v>
      </c>
      <c r="C6" s="8">
        <v>47.392200830434241</v>
      </c>
      <c r="D6" s="8">
        <v>1.2415315226220338</v>
      </c>
      <c r="E6" s="8">
        <v>4.3551340036455637E-7</v>
      </c>
      <c r="F6" s="8">
        <v>1.0719127009569664E-5</v>
      </c>
      <c r="G6" s="8">
        <v>3.1982980255035299E-3</v>
      </c>
      <c r="H6" s="8">
        <v>484.31814083376509</v>
      </c>
      <c r="I6" s="13" t="s">
        <v>14</v>
      </c>
      <c r="J6" s="10"/>
    </row>
    <row r="7" spans="1:10" x14ac:dyDescent="0.3">
      <c r="A7" s="17"/>
      <c r="B7" s="11"/>
      <c r="C7" s="8"/>
      <c r="D7" s="8"/>
      <c r="E7" s="8"/>
      <c r="F7" s="8"/>
      <c r="G7" s="8"/>
      <c r="H7" s="8"/>
      <c r="I7" s="13"/>
      <c r="J7" s="10"/>
    </row>
    <row r="8" spans="1:10" s="10" customFormat="1" x14ac:dyDescent="0.3">
      <c r="A8" s="17" t="s">
        <v>18</v>
      </c>
      <c r="B8" s="11">
        <v>1.3592525731409601E-4</v>
      </c>
      <c r="C8" s="11">
        <v>3005.8297155667501</v>
      </c>
      <c r="D8" s="11">
        <v>22.877513500947099</v>
      </c>
      <c r="E8" s="11">
        <v>7.9275759050817399E-4</v>
      </c>
      <c r="F8" s="11">
        <v>1.10520598253447E-3</v>
      </c>
      <c r="G8" s="11">
        <v>9.1372195646295893</v>
      </c>
      <c r="H8" s="11">
        <v>44056.045708182697</v>
      </c>
      <c r="I8" s="12" t="s">
        <v>49</v>
      </c>
    </row>
    <row r="9" spans="1:10" s="10" customFormat="1" x14ac:dyDescent="0.3">
      <c r="A9" s="17" t="s">
        <v>34</v>
      </c>
      <c r="B9" s="11">
        <v>5.1466865000000003E-4</v>
      </c>
      <c r="C9" s="11">
        <v>850.29560000000004</v>
      </c>
      <c r="D9" s="11">
        <v>2.2823826</v>
      </c>
      <c r="E9" s="11">
        <v>1.296069E-4</v>
      </c>
      <c r="F9" s="11">
        <v>3.4344154E-4</v>
      </c>
      <c r="G9" s="11">
        <v>0.72136637999999997</v>
      </c>
      <c r="H9" s="11">
        <v>12101.29</v>
      </c>
      <c r="I9" s="12" t="s">
        <v>50</v>
      </c>
    </row>
    <row r="10" spans="1:10" s="10" customFormat="1" x14ac:dyDescent="0.3">
      <c r="A10" s="17" t="s">
        <v>19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9" t="s">
        <v>47</v>
      </c>
    </row>
    <row r="11" spans="1:10" s="5" customFormat="1" x14ac:dyDescent="0.3">
      <c r="A11" s="17" t="s">
        <v>20</v>
      </c>
      <c r="B11" s="11">
        <v>1.93461810299458E-7</v>
      </c>
      <c r="C11" s="11">
        <v>6.1002448559402298</v>
      </c>
      <c r="D11" s="11">
        <v>7.48525960809069E-3</v>
      </c>
      <c r="E11" s="11">
        <v>1.56795349312076E-6</v>
      </c>
      <c r="F11" s="11">
        <v>6.3096554843693701E-7</v>
      </c>
      <c r="G11" s="11">
        <v>5.6296551652753003E-3</v>
      </c>
      <c r="H11" s="11">
        <v>48.486576971539897</v>
      </c>
      <c r="I11" s="9" t="s">
        <v>55</v>
      </c>
      <c r="J11" s="10"/>
    </row>
    <row r="12" spans="1:10" s="5" customFormat="1" x14ac:dyDescent="0.3">
      <c r="A12" s="17"/>
      <c r="B12" s="11"/>
      <c r="C12" s="11"/>
      <c r="D12" s="11"/>
      <c r="E12" s="11"/>
      <c r="F12" s="11"/>
      <c r="G12" s="11"/>
      <c r="H12" s="11"/>
      <c r="I12" s="9"/>
      <c r="J12" s="10"/>
    </row>
    <row r="13" spans="1:10" x14ac:dyDescent="0.3">
      <c r="A13" s="17" t="s">
        <v>22</v>
      </c>
      <c r="B13" s="11">
        <v>9.0123172392906297E-5</v>
      </c>
      <c r="C13" s="11">
        <v>680.55021954552399</v>
      </c>
      <c r="D13" s="11">
        <v>0.98241855763756702</v>
      </c>
      <c r="E13" s="11">
        <v>1.4933082186277101E-5</v>
      </c>
      <c r="F13" s="11">
        <v>9.2975065196396699E-5</v>
      </c>
      <c r="G13" s="11">
        <v>0.50275554985834303</v>
      </c>
      <c r="H13" s="11">
        <v>2263.0802890237201</v>
      </c>
      <c r="I13" s="12" t="s">
        <v>56</v>
      </c>
      <c r="J13" s="10"/>
    </row>
    <row r="14" spans="1:10" x14ac:dyDescent="0.3">
      <c r="A14" s="17" t="s">
        <v>35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9" t="s">
        <v>51</v>
      </c>
      <c r="J14" s="10"/>
    </row>
    <row r="15" spans="1:10" x14ac:dyDescent="0.3">
      <c r="A15" s="1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9" t="s">
        <v>47</v>
      </c>
      <c r="J15" s="10"/>
    </row>
    <row r="16" spans="1:10" x14ac:dyDescent="0.3">
      <c r="A16" s="17" t="s">
        <v>24</v>
      </c>
      <c r="B16" s="11">
        <v>3.9476411126420102E-8</v>
      </c>
      <c r="C16" s="11">
        <v>0.105177665444741</v>
      </c>
      <c r="D16" s="11">
        <v>1.16086422303833E-4</v>
      </c>
      <c r="E16" s="11">
        <v>4.2023420966633503E-9</v>
      </c>
      <c r="F16" s="14">
        <v>9.8771120262628495E-9</v>
      </c>
      <c r="G16" s="11">
        <v>7.9558899229210801E-5</v>
      </c>
      <c r="H16" s="11">
        <v>0.20787205678509499</v>
      </c>
      <c r="I16" s="12" t="s">
        <v>57</v>
      </c>
      <c r="J16" s="10"/>
    </row>
    <row r="17" spans="1:10" x14ac:dyDescent="0.3">
      <c r="A17" s="17"/>
      <c r="B17" s="11"/>
      <c r="C17" s="11"/>
      <c r="D17" s="11"/>
      <c r="E17" s="11"/>
      <c r="F17" s="14"/>
      <c r="G17" s="11"/>
      <c r="H17" s="11"/>
      <c r="I17" s="12"/>
      <c r="J17" s="10"/>
    </row>
    <row r="18" spans="1:10" x14ac:dyDescent="0.3">
      <c r="A18" s="17" t="s">
        <v>25</v>
      </c>
      <c r="B18" s="11">
        <v>1.63119776105038E-6</v>
      </c>
      <c r="C18" s="11">
        <v>23.0479926767091</v>
      </c>
      <c r="D18" s="11">
        <v>4.6681267959161996</v>
      </c>
      <c r="E18" s="11">
        <v>4.04278361456865E-5</v>
      </c>
      <c r="F18" s="11">
        <v>1.29566754694861E-3</v>
      </c>
      <c r="G18" s="11">
        <v>0.253193367876067</v>
      </c>
      <c r="H18" s="11">
        <v>25683.1508549594</v>
      </c>
      <c r="I18" s="12" t="s">
        <v>58</v>
      </c>
      <c r="J18" s="10"/>
    </row>
    <row r="19" spans="1:10" x14ac:dyDescent="0.3">
      <c r="A19" s="17" t="s">
        <v>36</v>
      </c>
      <c r="B19" s="14">
        <v>1.2493265E-6</v>
      </c>
      <c r="C19" s="11">
        <v>2.7575916999999999</v>
      </c>
      <c r="D19" s="11">
        <v>0.11123065</v>
      </c>
      <c r="E19" s="14">
        <v>1.0280229999999999E-6</v>
      </c>
      <c r="F19" s="14">
        <v>2.7154615E-5</v>
      </c>
      <c r="G19" s="11">
        <v>9.7252324000000005E-3</v>
      </c>
      <c r="H19" s="11">
        <v>580.60883000000001</v>
      </c>
      <c r="I19" s="12" t="s">
        <v>59</v>
      </c>
      <c r="J19" s="10"/>
    </row>
    <row r="20" spans="1:10" x14ac:dyDescent="0.3">
      <c r="A20" s="17" t="s">
        <v>26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9" t="s">
        <v>47</v>
      </c>
      <c r="J20" s="10"/>
    </row>
    <row r="21" spans="1:10" x14ac:dyDescent="0.3">
      <c r="A21" s="17" t="s">
        <v>27</v>
      </c>
      <c r="B21" s="11">
        <v>1.93461810299458E-7</v>
      </c>
      <c r="C21" s="11">
        <v>6.1002448559402298</v>
      </c>
      <c r="D21" s="11">
        <v>7.48525960809069E-3</v>
      </c>
      <c r="E21" s="14">
        <v>1.56795349312076E-6</v>
      </c>
      <c r="F21" s="11">
        <v>6.3096554843693701E-7</v>
      </c>
      <c r="G21" s="11">
        <v>5.6296551652753003E-3</v>
      </c>
      <c r="H21" s="11">
        <v>48.486576971539897</v>
      </c>
      <c r="I21" s="9" t="s">
        <v>55</v>
      </c>
      <c r="J21" s="10"/>
    </row>
    <row r="22" spans="1:10" x14ac:dyDescent="0.3">
      <c r="A22" s="17"/>
      <c r="B22" s="11"/>
      <c r="C22" s="11"/>
      <c r="D22" s="11"/>
      <c r="E22" s="11"/>
      <c r="F22" s="11"/>
      <c r="G22" s="11"/>
      <c r="H22" s="11"/>
      <c r="I22" s="9"/>
      <c r="J22" s="10"/>
    </row>
    <row r="23" spans="1:10" x14ac:dyDescent="0.3">
      <c r="A23" s="17" t="s">
        <v>28</v>
      </c>
      <c r="B23" s="11">
        <v>7.3514053596350597E-6</v>
      </c>
      <c r="C23" s="11">
        <v>116.824381500633</v>
      </c>
      <c r="D23" s="11">
        <v>0.69704166996986905</v>
      </c>
      <c r="E23" s="11">
        <v>8.3359515754274896E-6</v>
      </c>
      <c r="F23" s="11">
        <v>1.150306956171E-4</v>
      </c>
      <c r="G23" s="11">
        <v>0.17466511747755301</v>
      </c>
      <c r="H23" s="11">
        <v>2153.0519036023302</v>
      </c>
      <c r="I23" s="12" t="s">
        <v>52</v>
      </c>
      <c r="J23" s="10"/>
    </row>
    <row r="24" spans="1:10" x14ac:dyDescent="0.3">
      <c r="A24" s="17" t="s">
        <v>37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9" t="s">
        <v>53</v>
      </c>
      <c r="J24" s="10"/>
    </row>
    <row r="25" spans="1:10" x14ac:dyDescent="0.3">
      <c r="A25" s="17" t="s">
        <v>29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9" t="s">
        <v>54</v>
      </c>
      <c r="J25" s="10"/>
    </row>
    <row r="26" spans="1:10" x14ac:dyDescent="0.3">
      <c r="A26" s="17" t="s">
        <v>30</v>
      </c>
      <c r="B26" s="11">
        <v>1.93461810299458E-7</v>
      </c>
      <c r="C26" s="11">
        <v>6.1002448559402298</v>
      </c>
      <c r="D26" s="11">
        <v>7.48525960809069E-3</v>
      </c>
      <c r="E26" s="11">
        <v>1.56795349312076E-6</v>
      </c>
      <c r="F26" s="11">
        <v>6.3096554843693701E-7</v>
      </c>
      <c r="G26" s="11">
        <v>5.6296551652753003E-3</v>
      </c>
      <c r="H26" s="11">
        <v>48.486576971539897</v>
      </c>
      <c r="I26" s="9" t="s">
        <v>55</v>
      </c>
      <c r="J26" s="10"/>
    </row>
    <row r="27" spans="1:10" x14ac:dyDescent="0.3">
      <c r="A27" s="17"/>
      <c r="B27" s="11"/>
      <c r="C27" s="11"/>
      <c r="D27" s="11"/>
      <c r="E27" s="11"/>
      <c r="F27" s="11"/>
      <c r="G27" s="11"/>
      <c r="H27" s="11"/>
      <c r="I27" s="9"/>
      <c r="J27" s="10"/>
    </row>
    <row r="28" spans="1:10" x14ac:dyDescent="0.3">
      <c r="A28" s="17" t="s">
        <v>31</v>
      </c>
      <c r="B28" s="11">
        <v>2.2803744570258701E-5</v>
      </c>
      <c r="C28" s="11">
        <v>463.53632368843898</v>
      </c>
      <c r="D28" s="11">
        <v>1.3758945733779</v>
      </c>
      <c r="E28" s="11">
        <v>1.8821707847344099E-5</v>
      </c>
      <c r="F28" s="11">
        <v>6.6185909099809203E-5</v>
      </c>
      <c r="G28" s="11">
        <v>0.55599109807826896</v>
      </c>
      <c r="H28" s="11">
        <v>2146.8603098868698</v>
      </c>
      <c r="I28" s="12" t="s">
        <v>60</v>
      </c>
      <c r="J28" s="10"/>
    </row>
    <row r="29" spans="1:10" x14ac:dyDescent="0.3">
      <c r="A29" s="17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15" t="s">
        <v>46</v>
      </c>
      <c r="J29" s="10"/>
    </row>
    <row r="30" spans="1:10" x14ac:dyDescent="0.3">
      <c r="A30" s="17" t="s">
        <v>32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9" t="s">
        <v>47</v>
      </c>
      <c r="J30" s="10"/>
    </row>
    <row r="31" spans="1:10" s="5" customFormat="1" x14ac:dyDescent="0.3">
      <c r="A31" s="17" t="s">
        <v>33</v>
      </c>
      <c r="B31" s="11">
        <v>1.93461810299458E-7</v>
      </c>
      <c r="C31" s="11">
        <v>6.1002448559402298</v>
      </c>
      <c r="D31" s="11">
        <v>7.48525960809069E-3</v>
      </c>
      <c r="E31" s="11">
        <v>1.56795349312076E-6</v>
      </c>
      <c r="F31" s="11">
        <v>6.3096554843693701E-7</v>
      </c>
      <c r="G31" s="11">
        <v>5.6296551652753003E-3</v>
      </c>
      <c r="H31" s="11">
        <v>48.486576971539897</v>
      </c>
      <c r="I31" s="9" t="s">
        <v>55</v>
      </c>
      <c r="J31" s="10"/>
    </row>
    <row r="32" spans="1:10" x14ac:dyDescent="0.3">
      <c r="A32" s="8"/>
      <c r="B32" s="8"/>
      <c r="C32" s="8"/>
      <c r="D32" s="8"/>
      <c r="E32" s="8"/>
      <c r="F32" s="8"/>
      <c r="G32" s="8"/>
      <c r="H32" s="8"/>
      <c r="I32" s="15"/>
      <c r="J32" s="10"/>
    </row>
    <row r="33" spans="1:10" x14ac:dyDescent="0.3">
      <c r="A33" s="8"/>
      <c r="B33" s="16" t="s">
        <v>40</v>
      </c>
      <c r="C33" s="16" t="s">
        <v>41</v>
      </c>
      <c r="D33" s="16" t="s">
        <v>42</v>
      </c>
      <c r="E33" s="16" t="s">
        <v>43</v>
      </c>
      <c r="F33" s="16" t="s">
        <v>43</v>
      </c>
      <c r="G33" s="16" t="s">
        <v>44</v>
      </c>
      <c r="H33" s="16" t="s">
        <v>45</v>
      </c>
      <c r="I33" s="15"/>
      <c r="J33" s="10"/>
    </row>
    <row r="34" spans="1:10" x14ac:dyDescent="0.3">
      <c r="A34" s="17" t="s">
        <v>39</v>
      </c>
      <c r="B34" s="18">
        <v>3.07974786103025E-9</v>
      </c>
      <c r="C34" s="18">
        <v>0.18914175150364201</v>
      </c>
      <c r="D34" s="18">
        <v>1.74183633420479E-4</v>
      </c>
      <c r="E34" s="18">
        <v>5.1390570463598399E-8</v>
      </c>
      <c r="F34" s="18">
        <v>4.5808260390714599E-8</v>
      </c>
      <c r="G34" s="18">
        <v>9.3895618884684597E-5</v>
      </c>
      <c r="H34" s="18">
        <v>2.3046531426420498</v>
      </c>
      <c r="I34" s="15" t="s">
        <v>61</v>
      </c>
      <c r="J34" s="10"/>
    </row>
    <row r="35" spans="1:10" x14ac:dyDescent="0.3">
      <c r="A35" s="2"/>
      <c r="B35" s="2"/>
      <c r="C35" s="2"/>
      <c r="D35" s="2"/>
      <c r="E35" s="2"/>
      <c r="F35" s="2"/>
      <c r="G35" s="2"/>
      <c r="H35" s="2"/>
    </row>
    <row r="37" spans="1:10" x14ac:dyDescent="0.3">
      <c r="B37" s="5"/>
    </row>
  </sheetData>
  <mergeCells count="1"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EoU PV Estimates</vt:lpstr>
      <vt:lpstr>Material Demands</vt:lpstr>
      <vt:lpstr>Cost Parameters</vt:lpstr>
      <vt:lpstr>Recovery process parameters</vt:lpstr>
      <vt:lpstr>LCA metrics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Abheek (IntlAssoc)</dc:creator>
  <cp:lastModifiedBy>Chatterjee, Abheek (IntlAssoc)</cp:lastModifiedBy>
  <dcterms:created xsi:type="dcterms:W3CDTF">2015-06-05T18:17:20Z</dcterms:created>
  <dcterms:modified xsi:type="dcterms:W3CDTF">2025-12-12T19:11:45Z</dcterms:modified>
</cp:coreProperties>
</file>